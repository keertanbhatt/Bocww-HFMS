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ertanbhatt/Desktop/HFMS-BOCWCC/excel/"/>
    </mc:Choice>
  </mc:AlternateContent>
  <xr:revisionPtr revIDLastSave="0" documentId="8_{74911119-F0E9-8247-8EDD-3DE999FF88DC}" xr6:coauthVersionLast="47" xr6:coauthVersionMax="47" xr10:uidLastSave="{00000000-0000-0000-0000-000000000000}"/>
  <bookViews>
    <workbookView xWindow="780" yWindow="1000" windowWidth="27640" windowHeight="15360" xr2:uid="{EF02B38D-2C65-2247-9A48-BB36E7639E3D}"/>
  </bookViews>
  <sheets>
    <sheet name="bank balance + gsf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  <c r="C12" i="2"/>
  <c r="C22" i="2"/>
  <c r="C25" i="2" s="1"/>
  <c r="C23" i="2"/>
  <c r="C29" i="2"/>
  <c r="C31" i="2"/>
  <c r="C35" i="2" s="1"/>
  <c r="C38" i="2" s="1"/>
  <c r="C32" i="2"/>
  <c r="C36" i="2"/>
  <c r="C49" i="2" s="1"/>
  <c r="C42" i="2"/>
  <c r="C45" i="2"/>
  <c r="C48" i="2"/>
  <c r="C55" i="2"/>
  <c r="C58" i="2"/>
  <c r="C61" i="2"/>
  <c r="C69" i="2"/>
  <c r="C75" i="2"/>
  <c r="C78" i="2" s="1"/>
  <c r="C83" i="2"/>
  <c r="C89" i="2"/>
  <c r="C92" i="2"/>
  <c r="C97" i="2"/>
  <c r="C103" i="2"/>
  <c r="C106" i="2" s="1"/>
  <c r="C62" i="2" l="1"/>
  <c r="C64" i="2" s="1"/>
  <c r="C51" i="2"/>
</calcChain>
</file>

<file path=xl/sharedStrings.xml><?xml version="1.0" encoding="utf-8"?>
<sst xmlns="http://schemas.openxmlformats.org/spreadsheetml/2006/main" count="165" uniqueCount="27">
  <si>
    <t>Exp.</t>
  </si>
  <si>
    <t>TOTAL</t>
  </si>
  <si>
    <t>PD.PLA</t>
  </si>
  <si>
    <t>GSFS OWN DUND</t>
  </si>
  <si>
    <t>Total Bank Bal.</t>
  </si>
  <si>
    <t>50100741192416</t>
  </si>
  <si>
    <t xml:space="preserve">HDFC </t>
  </si>
  <si>
    <t>3220100029250</t>
  </si>
  <si>
    <t>BOB</t>
  </si>
  <si>
    <t>1146766391</t>
  </si>
  <si>
    <t>CBI</t>
  </si>
  <si>
    <t>41411378877</t>
  </si>
  <si>
    <t>SBI</t>
  </si>
  <si>
    <t>35966672147</t>
  </si>
  <si>
    <t>39231555338</t>
  </si>
  <si>
    <t>IN CR.</t>
  </si>
  <si>
    <t>AC NO.</t>
  </si>
  <si>
    <t xml:space="preserve">BANK </t>
  </si>
  <si>
    <t>DATE : 08/06/2026</t>
  </si>
  <si>
    <t>DATE : 04/05/2026</t>
  </si>
  <si>
    <t>DATE : 27/04/2026</t>
  </si>
  <si>
    <t>upto 29/03/2026</t>
  </si>
  <si>
    <t>DATE : 30/03/2026</t>
  </si>
  <si>
    <t>DATE : 22/03/2026</t>
  </si>
  <si>
    <t>DATE : 16/03/2026</t>
  </si>
  <si>
    <t>DATE : 07/03/2026</t>
  </si>
  <si>
    <t>DATE : 09/02/2026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</si>
</sst>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1" xfId="1" applyBorder="1"/>
    <xf numFmtId="2" fontId="1" fillId="0" borderId="1" xfId="1" applyNumberFormat="1" applyBorder="1"/>
    <xf numFmtId="0" fontId="1" fillId="0" borderId="1" xfId="1" applyBorder="1" applyAlignment="1">
      <alignment horizontal="right"/>
    </xf>
    <xf numFmtId="0" fontId="1" fillId="0" borderId="1" xfId="1" quotePrefix="1" applyBorder="1"/>
    <xf numFmtId="0" fontId="1" fillId="0" borderId="1" xfId="1" applyBorder="1" applyAlignment="1">
      <alignment horizontal="center" vertical="center"/>
    </xf>
  </cellXfs>
  <cellStyles count="2">
    <cellStyle name="Normal" xfId="0" builtinId="0"/>
    <cellStyle name="Normal 2" xfId="1" xr:uid="{5F0957B2-BBA1-8E4C-A171-D0820AB428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160F-5938-8A42-B8DC-5506A04FF543}">
  <dimension ref="A1:E107"/>
  <sheetViews>
    <sheetView tabSelected="1" topLeftCell="A76" workbookViewId="0">
      <selection activeCell="G111" sqref="G111"/>
    </sheetView>
  </sheetViews>
  <sheetFormatPr baseColWidth="10" defaultColWidth="8.83203125" defaultRowHeight="15" x14ac:dyDescent="0.2"/>
  <cols>
    <col min="1" max="1" width="16.83203125" style="1" bestFit="1" customWidth="1"/>
    <col min="2" max="2" width="15.1640625" style="1" bestFit="1" customWidth="1"/>
    <col min="3" max="3" width="16.83203125" style="1" bestFit="1" customWidth="1"/>
    <col min="4" max="4" width="15.5" style="1" bestFit="1" customWidth="1"/>
    <col min="5" max="16384" width="8.83203125" style="1"/>
  </cols>
  <sheetData>
    <row r="1" spans="1:3" x14ac:dyDescent="0.2">
      <c r="A1" s="2"/>
      <c r="B1" s="2"/>
      <c r="C1" s="2" t="s">
        <v>26</v>
      </c>
    </row>
    <row r="2" spans="1:3" x14ac:dyDescent="0.2">
      <c r="A2" s="6" t="s">
        <v>17</v>
      </c>
      <c r="B2" s="6" t="s">
        <v>16</v>
      </c>
      <c r="C2" s="6" t="s">
        <v>15</v>
      </c>
    </row>
    <row r="3" spans="1:3" x14ac:dyDescent="0.2">
      <c r="A3" s="2" t="s">
        <v>12</v>
      </c>
      <c r="B3" s="5" t="s">
        <v>14</v>
      </c>
      <c r="C3" s="2">
        <v>11.12</v>
      </c>
    </row>
    <row r="4" spans="1:3" x14ac:dyDescent="0.2">
      <c r="A4" s="2" t="s">
        <v>12</v>
      </c>
      <c r="B4" s="5" t="s">
        <v>13</v>
      </c>
      <c r="C4" s="3">
        <v>1.6500000000000001E-2</v>
      </c>
    </row>
    <row r="5" spans="1:3" x14ac:dyDescent="0.2">
      <c r="A5" s="2" t="s">
        <v>12</v>
      </c>
      <c r="B5" s="5" t="s">
        <v>11</v>
      </c>
      <c r="C5" s="3">
        <v>8.1999999999999993</v>
      </c>
    </row>
    <row r="6" spans="1:3" x14ac:dyDescent="0.2">
      <c r="A6" s="2" t="s">
        <v>10</v>
      </c>
      <c r="B6" s="5" t="s">
        <v>9</v>
      </c>
      <c r="C6" s="2">
        <v>2.85</v>
      </c>
    </row>
    <row r="7" spans="1:3" x14ac:dyDescent="0.2">
      <c r="A7" s="2" t="s">
        <v>8</v>
      </c>
      <c r="B7" s="5" t="s">
        <v>7</v>
      </c>
      <c r="C7" s="2">
        <v>8.8000000000000007</v>
      </c>
    </row>
    <row r="8" spans="1:3" x14ac:dyDescent="0.2">
      <c r="A8" s="2" t="s">
        <v>6</v>
      </c>
      <c r="B8" s="5" t="s">
        <v>5</v>
      </c>
      <c r="C8" s="2">
        <v>2.84</v>
      </c>
    </row>
    <row r="9" spans="1:3" x14ac:dyDescent="0.2">
      <c r="A9" s="4" t="s">
        <v>4</v>
      </c>
      <c r="B9" s="2"/>
      <c r="C9" s="3">
        <f>SUM(C3:C8)</f>
        <v>33.826500000000003</v>
      </c>
    </row>
    <row r="10" spans="1:3" x14ac:dyDescent="0.2">
      <c r="A10" s="2" t="s">
        <v>3</v>
      </c>
      <c r="B10" s="2"/>
      <c r="C10" s="2">
        <v>137.15</v>
      </c>
    </row>
    <row r="11" spans="1:3" x14ac:dyDescent="0.2">
      <c r="A11" s="2" t="s">
        <v>2</v>
      </c>
      <c r="B11" s="2"/>
      <c r="C11" s="2">
        <v>3301.78</v>
      </c>
    </row>
    <row r="12" spans="1:3" x14ac:dyDescent="0.2">
      <c r="A12" s="2" t="s">
        <v>1</v>
      </c>
      <c r="B12" s="2"/>
      <c r="C12" s="3">
        <f>SUM(C9:C11)</f>
        <v>3472.7565000000004</v>
      </c>
    </row>
    <row r="14" spans="1:3" x14ac:dyDescent="0.2">
      <c r="A14" s="2"/>
      <c r="B14" s="2"/>
      <c r="C14" s="2" t="s">
        <v>25</v>
      </c>
    </row>
    <row r="15" spans="1:3" x14ac:dyDescent="0.2">
      <c r="A15" s="6" t="s">
        <v>17</v>
      </c>
      <c r="B15" s="6" t="s">
        <v>16</v>
      </c>
      <c r="C15" s="6" t="s">
        <v>15</v>
      </c>
    </row>
    <row r="16" spans="1:3" x14ac:dyDescent="0.2">
      <c r="A16" s="2" t="s">
        <v>12</v>
      </c>
      <c r="B16" s="5" t="s">
        <v>14</v>
      </c>
      <c r="C16" s="2">
        <v>12.18</v>
      </c>
    </row>
    <row r="17" spans="1:5" x14ac:dyDescent="0.2">
      <c r="A17" s="2" t="s">
        <v>12</v>
      </c>
      <c r="B17" s="5" t="s">
        <v>13</v>
      </c>
      <c r="C17" s="3">
        <v>1.6500000000000001E-2</v>
      </c>
    </row>
    <row r="18" spans="1:5" x14ac:dyDescent="0.2">
      <c r="A18" s="2" t="s">
        <v>12</v>
      </c>
      <c r="B18" s="5" t="s">
        <v>11</v>
      </c>
      <c r="C18" s="3">
        <v>7.72</v>
      </c>
    </row>
    <row r="19" spans="1:5" x14ac:dyDescent="0.2">
      <c r="A19" s="2" t="s">
        <v>10</v>
      </c>
      <c r="B19" s="5" t="s">
        <v>9</v>
      </c>
      <c r="C19" s="3">
        <v>3.35</v>
      </c>
    </row>
    <row r="20" spans="1:5" x14ac:dyDescent="0.2">
      <c r="A20" s="2" t="s">
        <v>8</v>
      </c>
      <c r="B20" s="5" t="s">
        <v>7</v>
      </c>
      <c r="C20" s="2">
        <v>8.7899999999999991</v>
      </c>
    </row>
    <row r="21" spans="1:5" x14ac:dyDescent="0.2">
      <c r="A21" s="2" t="s">
        <v>6</v>
      </c>
      <c r="B21" s="5" t="s">
        <v>5</v>
      </c>
      <c r="C21" s="2">
        <v>2.84</v>
      </c>
    </row>
    <row r="22" spans="1:5" x14ac:dyDescent="0.2">
      <c r="A22" s="4" t="s">
        <v>4</v>
      </c>
      <c r="B22" s="2"/>
      <c r="C22" s="3">
        <f>SUM(C16:C21)</f>
        <v>34.896500000000003</v>
      </c>
    </row>
    <row r="23" spans="1:5" x14ac:dyDescent="0.2">
      <c r="A23" s="2" t="s">
        <v>3</v>
      </c>
      <c r="B23" s="2"/>
      <c r="C23" s="2">
        <f>C10+E23</f>
        <v>57.150000000000006</v>
      </c>
      <c r="E23" s="1">
        <v>-80</v>
      </c>
    </row>
    <row r="24" spans="1:5" x14ac:dyDescent="0.2">
      <c r="A24" s="2" t="s">
        <v>2</v>
      </c>
      <c r="B24" s="2"/>
      <c r="C24" s="2">
        <v>3301.78</v>
      </c>
    </row>
    <row r="25" spans="1:5" x14ac:dyDescent="0.2">
      <c r="A25" s="2" t="s">
        <v>1</v>
      </c>
      <c r="B25" s="2"/>
      <c r="C25" s="3">
        <f>SUM(C22:C24)</f>
        <v>3393.8265000000001</v>
      </c>
    </row>
    <row r="27" spans="1:5" x14ac:dyDescent="0.2">
      <c r="A27" s="2"/>
      <c r="B27" s="2"/>
      <c r="C27" s="2" t="s">
        <v>24</v>
      </c>
    </row>
    <row r="28" spans="1:5" x14ac:dyDescent="0.2">
      <c r="A28" s="6" t="s">
        <v>17</v>
      </c>
      <c r="B28" s="6" t="s">
        <v>16</v>
      </c>
      <c r="C28" s="6" t="s">
        <v>15</v>
      </c>
    </row>
    <row r="29" spans="1:5" x14ac:dyDescent="0.2">
      <c r="A29" s="2" t="s">
        <v>12</v>
      </c>
      <c r="B29" s="5" t="s">
        <v>14</v>
      </c>
      <c r="C29" s="2">
        <f>12.18-12</f>
        <v>0.17999999999999972</v>
      </c>
    </row>
    <row r="30" spans="1:5" x14ac:dyDescent="0.2">
      <c r="A30" s="2" t="s">
        <v>12</v>
      </c>
      <c r="B30" s="5" t="s">
        <v>13</v>
      </c>
      <c r="C30" s="3">
        <v>1.6500000000000001E-2</v>
      </c>
    </row>
    <row r="31" spans="1:5" x14ac:dyDescent="0.2">
      <c r="A31" s="2" t="s">
        <v>12</v>
      </c>
      <c r="B31" s="5" t="s">
        <v>11</v>
      </c>
      <c r="C31" s="3">
        <f>7.72+12+3.35</f>
        <v>23.07</v>
      </c>
    </row>
    <row r="32" spans="1:5" x14ac:dyDescent="0.2">
      <c r="A32" s="2" t="s">
        <v>10</v>
      </c>
      <c r="B32" s="5" t="s">
        <v>9</v>
      </c>
      <c r="C32" s="3">
        <f>3.35-3.35</f>
        <v>0</v>
      </c>
    </row>
    <row r="33" spans="1:3" x14ac:dyDescent="0.2">
      <c r="A33" s="2" t="s">
        <v>8</v>
      </c>
      <c r="B33" s="5" t="s">
        <v>7</v>
      </c>
      <c r="C33" s="2">
        <v>8.7899999999999991</v>
      </c>
    </row>
    <row r="34" spans="1:3" x14ac:dyDescent="0.2">
      <c r="A34" s="2" t="s">
        <v>6</v>
      </c>
      <c r="B34" s="5" t="s">
        <v>5</v>
      </c>
      <c r="C34" s="2">
        <v>2.84</v>
      </c>
    </row>
    <row r="35" spans="1:3" x14ac:dyDescent="0.2">
      <c r="A35" s="4" t="s">
        <v>4</v>
      </c>
      <c r="B35" s="2"/>
      <c r="C35" s="3">
        <f>SUM(C29:C34)</f>
        <v>34.896500000000003</v>
      </c>
    </row>
    <row r="36" spans="1:3" x14ac:dyDescent="0.2">
      <c r="A36" s="2" t="s">
        <v>3</v>
      </c>
      <c r="B36" s="2"/>
      <c r="C36" s="2">
        <f>C23+E36+72.5</f>
        <v>129.65</v>
      </c>
    </row>
    <row r="37" spans="1:3" x14ac:dyDescent="0.2">
      <c r="A37" s="2" t="s">
        <v>2</v>
      </c>
      <c r="B37" s="2"/>
      <c r="C37" s="2">
        <v>3301.78</v>
      </c>
    </row>
    <row r="38" spans="1:3" x14ac:dyDescent="0.2">
      <c r="A38" s="2" t="s">
        <v>1</v>
      </c>
      <c r="B38" s="2"/>
      <c r="C38" s="3">
        <f>SUM(C35:C37)</f>
        <v>3466.3265000000001</v>
      </c>
    </row>
    <row r="40" spans="1:3" x14ac:dyDescent="0.2">
      <c r="A40" s="2"/>
      <c r="B40" s="2"/>
      <c r="C40" s="2" t="s">
        <v>23</v>
      </c>
    </row>
    <row r="41" spans="1:3" x14ac:dyDescent="0.2">
      <c r="A41" s="6" t="s">
        <v>17</v>
      </c>
      <c r="B41" s="6" t="s">
        <v>16</v>
      </c>
      <c r="C41" s="6" t="s">
        <v>15</v>
      </c>
    </row>
    <row r="42" spans="1:3" x14ac:dyDescent="0.2">
      <c r="A42" s="2" t="s">
        <v>12</v>
      </c>
      <c r="B42" s="5" t="s">
        <v>14</v>
      </c>
      <c r="C42" s="2">
        <f>12.18-12</f>
        <v>0.17999999999999972</v>
      </c>
    </row>
    <row r="43" spans="1:3" x14ac:dyDescent="0.2">
      <c r="A43" s="2" t="s">
        <v>12</v>
      </c>
      <c r="B43" s="5" t="s">
        <v>13</v>
      </c>
      <c r="C43" s="3">
        <v>1.6500000000000001E-2</v>
      </c>
    </row>
    <row r="44" spans="1:3" x14ac:dyDescent="0.2">
      <c r="A44" s="2" t="s">
        <v>12</v>
      </c>
      <c r="B44" s="5" t="s">
        <v>11</v>
      </c>
      <c r="C44" s="3">
        <v>11.33</v>
      </c>
    </row>
    <row r="45" spans="1:3" x14ac:dyDescent="0.2">
      <c r="A45" s="2" t="s">
        <v>10</v>
      </c>
      <c r="B45" s="5" t="s">
        <v>9</v>
      </c>
      <c r="C45" s="3">
        <f>3.35-3.35</f>
        <v>0</v>
      </c>
    </row>
    <row r="46" spans="1:3" x14ac:dyDescent="0.2">
      <c r="A46" s="2" t="s">
        <v>8</v>
      </c>
      <c r="B46" s="5" t="s">
        <v>7</v>
      </c>
      <c r="C46" s="2">
        <v>0.13</v>
      </c>
    </row>
    <row r="47" spans="1:3" x14ac:dyDescent="0.2">
      <c r="A47" s="2" t="s">
        <v>6</v>
      </c>
      <c r="B47" s="5" t="s">
        <v>5</v>
      </c>
      <c r="C47" s="2">
        <v>2.84</v>
      </c>
    </row>
    <row r="48" spans="1:3" x14ac:dyDescent="0.2">
      <c r="A48" s="4" t="s">
        <v>4</v>
      </c>
      <c r="B48" s="2"/>
      <c r="C48" s="3">
        <f>SUM(C42:C47)</f>
        <v>14.496500000000001</v>
      </c>
    </row>
    <row r="49" spans="1:3" x14ac:dyDescent="0.2">
      <c r="A49" s="2" t="s">
        <v>3</v>
      </c>
      <c r="B49" s="2"/>
      <c r="C49" s="2">
        <f>C36+E49+72.5</f>
        <v>202.15</v>
      </c>
    </row>
    <row r="50" spans="1:3" x14ac:dyDescent="0.2">
      <c r="A50" s="2" t="s">
        <v>2</v>
      </c>
      <c r="B50" s="2"/>
      <c r="C50" s="2">
        <v>3301.78</v>
      </c>
    </row>
    <row r="51" spans="1:3" x14ac:dyDescent="0.2">
      <c r="A51" s="2" t="s">
        <v>1</v>
      </c>
      <c r="B51" s="2"/>
      <c r="C51" s="3">
        <f>SUM(C48:C50)</f>
        <v>3518.4265</v>
      </c>
    </row>
    <row r="53" spans="1:3" x14ac:dyDescent="0.2">
      <c r="A53" s="2"/>
      <c r="B53" s="2"/>
      <c r="C53" s="2" t="s">
        <v>22</v>
      </c>
    </row>
    <row r="54" spans="1:3" x14ac:dyDescent="0.2">
      <c r="A54" s="6" t="s">
        <v>17</v>
      </c>
      <c r="B54" s="6" t="s">
        <v>16</v>
      </c>
      <c r="C54" s="6" t="s">
        <v>15</v>
      </c>
    </row>
    <row r="55" spans="1:3" x14ac:dyDescent="0.2">
      <c r="A55" s="2" t="s">
        <v>12</v>
      </c>
      <c r="B55" s="5" t="s">
        <v>14</v>
      </c>
      <c r="C55" s="2">
        <f>12.18-12</f>
        <v>0.17999999999999972</v>
      </c>
    </row>
    <row r="56" spans="1:3" x14ac:dyDescent="0.2">
      <c r="A56" s="2" t="s">
        <v>12</v>
      </c>
      <c r="B56" s="5" t="s">
        <v>13</v>
      </c>
      <c r="C56" s="3">
        <v>1.6500000000000001E-2</v>
      </c>
    </row>
    <row r="57" spans="1:3" x14ac:dyDescent="0.2">
      <c r="A57" s="2" t="s">
        <v>12</v>
      </c>
      <c r="B57" s="5" t="s">
        <v>11</v>
      </c>
      <c r="C57" s="3">
        <v>20.239999999999998</v>
      </c>
    </row>
    <row r="58" spans="1:3" x14ac:dyDescent="0.2">
      <c r="A58" s="2" t="s">
        <v>10</v>
      </c>
      <c r="B58" s="5" t="s">
        <v>9</v>
      </c>
      <c r="C58" s="3">
        <f>3.35-3.35</f>
        <v>0</v>
      </c>
    </row>
    <row r="59" spans="1:3" x14ac:dyDescent="0.2">
      <c r="A59" s="2" t="s">
        <v>8</v>
      </c>
      <c r="B59" s="5" t="s">
        <v>7</v>
      </c>
      <c r="C59" s="2">
        <v>0.13</v>
      </c>
    </row>
    <row r="60" spans="1:3" x14ac:dyDescent="0.2">
      <c r="A60" s="2" t="s">
        <v>6</v>
      </c>
      <c r="B60" s="5" t="s">
        <v>5</v>
      </c>
      <c r="C60" s="2">
        <v>2.84</v>
      </c>
    </row>
    <row r="61" spans="1:3" x14ac:dyDescent="0.2">
      <c r="A61" s="4" t="s">
        <v>4</v>
      </c>
      <c r="B61" s="2"/>
      <c r="C61" s="3">
        <f>SUM(C55:C60)</f>
        <v>23.406499999999998</v>
      </c>
    </row>
    <row r="62" spans="1:3" x14ac:dyDescent="0.2">
      <c r="A62" s="2" t="s">
        <v>3</v>
      </c>
      <c r="B62" s="2"/>
      <c r="C62" s="2">
        <f>C49-35</f>
        <v>167.15</v>
      </c>
    </row>
    <row r="63" spans="1:3" x14ac:dyDescent="0.2">
      <c r="A63" s="2" t="s">
        <v>2</v>
      </c>
      <c r="B63" s="2"/>
      <c r="C63" s="2">
        <v>3301.78</v>
      </c>
    </row>
    <row r="64" spans="1:3" x14ac:dyDescent="0.2">
      <c r="A64" s="2" t="s">
        <v>1</v>
      </c>
      <c r="B64" s="2"/>
      <c r="C64" s="3">
        <f>SUM(C61:C63)</f>
        <v>3492.3365000000003</v>
      </c>
    </row>
    <row r="65" spans="1:4" x14ac:dyDescent="0.2">
      <c r="A65" s="2" t="s">
        <v>0</v>
      </c>
      <c r="B65" s="2"/>
      <c r="C65" s="2">
        <v>287.76</v>
      </c>
      <c r="D65" s="1" t="s">
        <v>21</v>
      </c>
    </row>
    <row r="67" spans="1:4" x14ac:dyDescent="0.2">
      <c r="A67" s="2"/>
      <c r="B67" s="2"/>
      <c r="C67" s="2" t="s">
        <v>20</v>
      </c>
    </row>
    <row r="68" spans="1:4" x14ac:dyDescent="0.2">
      <c r="A68" s="6" t="s">
        <v>17</v>
      </c>
      <c r="B68" s="6" t="s">
        <v>16</v>
      </c>
      <c r="C68" s="6" t="s">
        <v>15</v>
      </c>
    </row>
    <row r="69" spans="1:4" x14ac:dyDescent="0.2">
      <c r="A69" s="2" t="s">
        <v>12</v>
      </c>
      <c r="B69" s="5" t="s">
        <v>14</v>
      </c>
      <c r="C69" s="2">
        <f>12.18-12</f>
        <v>0.17999999999999972</v>
      </c>
    </row>
    <row r="70" spans="1:4" x14ac:dyDescent="0.2">
      <c r="A70" s="2" t="s">
        <v>12</v>
      </c>
      <c r="B70" s="5" t="s">
        <v>13</v>
      </c>
      <c r="C70" s="3">
        <v>1.6500000000000001E-2</v>
      </c>
    </row>
    <row r="71" spans="1:4" x14ac:dyDescent="0.2">
      <c r="A71" s="2" t="s">
        <v>12</v>
      </c>
      <c r="B71" s="5" t="s">
        <v>11</v>
      </c>
      <c r="C71" s="3">
        <v>4.71</v>
      </c>
    </row>
    <row r="72" spans="1:4" x14ac:dyDescent="0.2">
      <c r="A72" s="2" t="s">
        <v>10</v>
      </c>
      <c r="B72" s="5" t="s">
        <v>9</v>
      </c>
      <c r="C72" s="3">
        <v>0.38</v>
      </c>
    </row>
    <row r="73" spans="1:4" x14ac:dyDescent="0.2">
      <c r="A73" s="2" t="s">
        <v>8</v>
      </c>
      <c r="B73" s="5" t="s">
        <v>7</v>
      </c>
      <c r="C73" s="2">
        <v>0.05</v>
      </c>
    </row>
    <row r="74" spans="1:4" x14ac:dyDescent="0.2">
      <c r="A74" s="2" t="s">
        <v>6</v>
      </c>
      <c r="B74" s="5" t="s">
        <v>5</v>
      </c>
      <c r="C74" s="2">
        <v>2.84</v>
      </c>
    </row>
    <row r="75" spans="1:4" x14ac:dyDescent="0.2">
      <c r="A75" s="4" t="s">
        <v>4</v>
      </c>
      <c r="B75" s="2"/>
      <c r="C75" s="3">
        <f>SUM(C69:C74)</f>
        <v>8.176499999999999</v>
      </c>
    </row>
    <row r="76" spans="1:4" x14ac:dyDescent="0.2">
      <c r="A76" s="2" t="s">
        <v>3</v>
      </c>
      <c r="B76" s="2"/>
      <c r="C76" s="2">
        <v>83.38</v>
      </c>
    </row>
    <row r="77" spans="1:4" x14ac:dyDescent="0.2">
      <c r="A77" s="2" t="s">
        <v>2</v>
      </c>
      <c r="B77" s="2"/>
      <c r="C77" s="2">
        <v>3301.78</v>
      </c>
    </row>
    <row r="78" spans="1:4" x14ac:dyDescent="0.2">
      <c r="A78" s="2" t="s">
        <v>1</v>
      </c>
      <c r="B78" s="2"/>
      <c r="C78" s="3">
        <f>SUM(C75:C77)</f>
        <v>3393.3365000000003</v>
      </c>
    </row>
    <row r="79" spans="1:4" x14ac:dyDescent="0.2">
      <c r="A79" s="2" t="s">
        <v>0</v>
      </c>
      <c r="B79" s="2"/>
      <c r="C79" s="2">
        <v>3.2</v>
      </c>
    </row>
    <row r="81" spans="1:3" x14ac:dyDescent="0.2">
      <c r="A81" s="2"/>
      <c r="B81" s="2"/>
      <c r="C81" s="2" t="s">
        <v>19</v>
      </c>
    </row>
    <row r="82" spans="1:3" x14ac:dyDescent="0.2">
      <c r="A82" s="6" t="s">
        <v>17</v>
      </c>
      <c r="B82" s="6" t="s">
        <v>16</v>
      </c>
      <c r="C82" s="6" t="s">
        <v>15</v>
      </c>
    </row>
    <row r="83" spans="1:3" x14ac:dyDescent="0.2">
      <c r="A83" s="2" t="s">
        <v>12</v>
      </c>
      <c r="B83" s="5" t="s">
        <v>14</v>
      </c>
      <c r="C83" s="2">
        <f>12.18-12</f>
        <v>0.17999999999999972</v>
      </c>
    </row>
    <row r="84" spans="1:3" x14ac:dyDescent="0.2">
      <c r="A84" s="2" t="s">
        <v>12</v>
      </c>
      <c r="B84" s="5" t="s">
        <v>13</v>
      </c>
      <c r="C84" s="3">
        <v>1.6500000000000001E-2</v>
      </c>
    </row>
    <row r="85" spans="1:3" x14ac:dyDescent="0.2">
      <c r="A85" s="2" t="s">
        <v>12</v>
      </c>
      <c r="B85" s="5" t="s">
        <v>11</v>
      </c>
      <c r="C85" s="3">
        <v>0.48</v>
      </c>
    </row>
    <row r="86" spans="1:3" x14ac:dyDescent="0.2">
      <c r="A86" s="2" t="s">
        <v>10</v>
      </c>
      <c r="B86" s="5" t="s">
        <v>9</v>
      </c>
      <c r="C86" s="3">
        <v>0.38</v>
      </c>
    </row>
    <row r="87" spans="1:3" x14ac:dyDescent="0.2">
      <c r="A87" s="2" t="s">
        <v>8</v>
      </c>
      <c r="B87" s="5" t="s">
        <v>7</v>
      </c>
      <c r="C87" s="2">
        <v>0.05</v>
      </c>
    </row>
    <row r="88" spans="1:3" x14ac:dyDescent="0.2">
      <c r="A88" s="2" t="s">
        <v>6</v>
      </c>
      <c r="B88" s="5" t="s">
        <v>5</v>
      </c>
      <c r="C88" s="2">
        <v>2.84</v>
      </c>
    </row>
    <row r="89" spans="1:3" x14ac:dyDescent="0.2">
      <c r="A89" s="4" t="s">
        <v>4</v>
      </c>
      <c r="B89" s="2"/>
      <c r="C89" s="3">
        <f>SUM(C83:C88)</f>
        <v>3.9464999999999995</v>
      </c>
    </row>
    <row r="90" spans="1:3" x14ac:dyDescent="0.2">
      <c r="A90" s="2" t="s">
        <v>3</v>
      </c>
      <c r="B90" s="2"/>
      <c r="C90" s="2">
        <v>83.38</v>
      </c>
    </row>
    <row r="91" spans="1:3" x14ac:dyDescent="0.2">
      <c r="A91" s="2" t="s">
        <v>2</v>
      </c>
      <c r="B91" s="2"/>
      <c r="C91" s="2">
        <v>3301.78</v>
      </c>
    </row>
    <row r="92" spans="1:3" x14ac:dyDescent="0.2">
      <c r="A92" s="2" t="s">
        <v>1</v>
      </c>
      <c r="B92" s="2"/>
      <c r="C92" s="3">
        <f>SUM(C89:C91)</f>
        <v>3389.1065000000003</v>
      </c>
    </row>
    <row r="93" spans="1:3" x14ac:dyDescent="0.2">
      <c r="A93" s="2" t="s">
        <v>0</v>
      </c>
      <c r="B93" s="2"/>
      <c r="C93" s="2">
        <v>7.15</v>
      </c>
    </row>
    <row r="95" spans="1:3" x14ac:dyDescent="0.2">
      <c r="A95" s="2"/>
      <c r="B95" s="2"/>
      <c r="C95" s="2" t="s">
        <v>18</v>
      </c>
    </row>
    <row r="96" spans="1:3" x14ac:dyDescent="0.2">
      <c r="A96" s="6" t="s">
        <v>17</v>
      </c>
      <c r="B96" s="6" t="s">
        <v>16</v>
      </c>
      <c r="C96" s="6" t="s">
        <v>15</v>
      </c>
    </row>
    <row r="97" spans="1:3" x14ac:dyDescent="0.2">
      <c r="A97" s="2" t="s">
        <v>12</v>
      </c>
      <c r="B97" s="5" t="s">
        <v>14</v>
      </c>
      <c r="C97" s="2">
        <f>12.18-12</f>
        <v>0.17999999999999972</v>
      </c>
    </row>
    <row r="98" spans="1:3" x14ac:dyDescent="0.2">
      <c r="A98" s="2" t="s">
        <v>12</v>
      </c>
      <c r="B98" s="5" t="s">
        <v>13</v>
      </c>
      <c r="C98" s="3">
        <v>1.6500000000000001E-2</v>
      </c>
    </row>
    <row r="99" spans="1:3" x14ac:dyDescent="0.2">
      <c r="A99" s="2" t="s">
        <v>12</v>
      </c>
      <c r="B99" s="5" t="s">
        <v>11</v>
      </c>
      <c r="C99" s="3">
        <v>8.6199999999999992</v>
      </c>
    </row>
    <row r="100" spans="1:3" x14ac:dyDescent="0.2">
      <c r="A100" s="2" t="s">
        <v>10</v>
      </c>
      <c r="B100" s="5" t="s">
        <v>9</v>
      </c>
      <c r="C100" s="3">
        <v>0.38</v>
      </c>
    </row>
    <row r="101" spans="1:3" x14ac:dyDescent="0.2">
      <c r="A101" s="2" t="s">
        <v>8</v>
      </c>
      <c r="B101" s="5" t="s">
        <v>7</v>
      </c>
      <c r="C101" s="2">
        <v>0.05</v>
      </c>
    </row>
    <row r="102" spans="1:3" x14ac:dyDescent="0.2">
      <c r="A102" s="2" t="s">
        <v>6</v>
      </c>
      <c r="B102" s="5" t="s">
        <v>5</v>
      </c>
      <c r="C102" s="2">
        <v>2.84</v>
      </c>
    </row>
    <row r="103" spans="1:3" x14ac:dyDescent="0.2">
      <c r="A103" s="4" t="s">
        <v>4</v>
      </c>
      <c r="B103" s="2"/>
      <c r="C103" s="3">
        <f>SUM(C97:C102)</f>
        <v>12.086500000000001</v>
      </c>
    </row>
    <row r="104" spans="1:3" x14ac:dyDescent="0.2">
      <c r="A104" s="2" t="s">
        <v>3</v>
      </c>
      <c r="B104" s="2"/>
      <c r="C104" s="2">
        <v>58.38</v>
      </c>
    </row>
    <row r="105" spans="1:3" x14ac:dyDescent="0.2">
      <c r="A105" s="2" t="s">
        <v>2</v>
      </c>
      <c r="B105" s="2"/>
      <c r="C105" s="2">
        <v>3301.78</v>
      </c>
    </row>
    <row r="106" spans="1:3" x14ac:dyDescent="0.2">
      <c r="A106" s="2" t="s">
        <v>1</v>
      </c>
      <c r="B106" s="2"/>
      <c r="C106" s="3">
        <f>SUM(C103:C105)</f>
        <v>3372.2465000000002</v>
      </c>
    </row>
    <row r="107" spans="1:3" x14ac:dyDescent="0.2">
      <c r="A107" s="2" t="s">
        <v>0</v>
      </c>
      <c r="B107" s="2"/>
      <c r="C107" s="2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balance + gsfs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Keertan Bhatt</dc:creator>
  <cp:lastModifiedBy>Keertan Bhatt</cp:lastModifiedBy>
  <dcterms:created xsi:type="dcterms:W3CDTF">2026-10-01T10:44:18Z</dcterms:created>
  <dcterms:modified xsi:type="dcterms:W3CDTF">2026-10-01T10:46:36Z</dcterms:modified>
</cp:coreProperties>
</file>